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JENG\Desktop\python-B4\"/>
    </mc:Choice>
  </mc:AlternateContent>
  <bookViews>
    <workbookView xWindow="0" yWindow="0" windowWidth="20490" windowHeight="71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N18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J3" i="1"/>
  <c r="K3" i="1"/>
  <c r="H18" i="1"/>
  <c r="H3" i="1"/>
  <c r="H14" i="1"/>
  <c r="I18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5" i="1"/>
  <c r="H16" i="1"/>
  <c r="H1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</calcChain>
</file>

<file path=xl/sharedStrings.xml><?xml version="1.0" encoding="utf-8"?>
<sst xmlns="http://schemas.openxmlformats.org/spreadsheetml/2006/main" count="18" uniqueCount="16">
  <si>
    <t>y'</t>
  </si>
  <si>
    <t>x-x'</t>
  </si>
  <si>
    <t>y-y'</t>
  </si>
  <si>
    <t>(x-x')(y-y')</t>
  </si>
  <si>
    <t>(x-x')^2</t>
  </si>
  <si>
    <t>m</t>
  </si>
  <si>
    <t>c=y'-m*x</t>
  </si>
  <si>
    <t>ypred=mx+c</t>
  </si>
  <si>
    <t>y-ypred</t>
  </si>
  <si>
    <t>ABS</t>
  </si>
  <si>
    <t>(y-ypred)^2</t>
  </si>
  <si>
    <t>MAE</t>
  </si>
  <si>
    <t>MSE</t>
  </si>
  <si>
    <t xml:space="preserve">       x</t>
  </si>
  <si>
    <t xml:space="preserve">       y</t>
  </si>
  <si>
    <t xml:space="preserve">       x'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</si>
</sst>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workbookViewId="0">
      <selection activeCell="B2" sqref="B2:C17"/>
    </sheetView>
  </sheetViews>
  <sheetFormatPr defaultRowHeight="15" x14ac:dyDescent="0.25"/>
  <cols>
    <col min="10" max="10" width="8.42578125" customWidth="1"/>
    <col min="12" max="12" width="12.85546875" customWidth="1"/>
    <col min="15" max="15" width="11" customWidth="1"/>
  </cols>
  <sheetData>
    <row r="2" spans="2:15" x14ac:dyDescent="0.25">
      <c r="B2" t="s">
        <v>13</v>
      </c>
      <c r="C2" t="s">
        <v>14</v>
      </c>
      <c r="D2" t="s">
        <v>15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</row>
    <row r="3" spans="2:15" x14ac:dyDescent="0.25">
      <c r="B3">
        <v>15</v>
      </c>
      <c r="C3">
        <v>49</v>
      </c>
      <c r="D3">
        <v>19.93</v>
      </c>
      <c r="E3">
        <v>56.8</v>
      </c>
      <c r="F3">
        <f>B3-D3</f>
        <v>-4.93</v>
      </c>
      <c r="G3">
        <f>C3-E3</f>
        <v>-7.7999999999999972</v>
      </c>
      <c r="H3">
        <f>F3*G3</f>
        <v>38.453999999999986</v>
      </c>
      <c r="I3">
        <f>F3^2</f>
        <v>24.304899999999996</v>
      </c>
      <c r="J3">
        <f>H18/I18</f>
        <v>1.8939469051506277</v>
      </c>
      <c r="K3">
        <f>E3-J3*D3</f>
        <v>19.053638180347988</v>
      </c>
      <c r="L3">
        <f>J3*B3+K3</f>
        <v>47.462841757607407</v>
      </c>
      <c r="M3">
        <f>C3-L3</f>
        <v>1.5371582423925929</v>
      </c>
      <c r="N3">
        <f>(ABS(M3))</f>
        <v>1.5371582423925929</v>
      </c>
      <c r="O3">
        <f>(C3-L3)^2</f>
        <v>2.3628554621554856</v>
      </c>
    </row>
    <row r="4" spans="2:15" x14ac:dyDescent="0.25">
      <c r="B4">
        <v>23</v>
      </c>
      <c r="C4">
        <v>63</v>
      </c>
      <c r="D4">
        <v>19.93</v>
      </c>
      <c r="E4">
        <v>56.8</v>
      </c>
      <c r="F4">
        <f t="shared" ref="F4:F17" si="0">B4-D4</f>
        <v>3.0700000000000003</v>
      </c>
      <c r="G4">
        <f t="shared" ref="G4:G17" si="1">C4-E4</f>
        <v>6.2000000000000028</v>
      </c>
      <c r="H4">
        <f t="shared" ref="H4:H17" si="2">F4*G4</f>
        <v>19.03400000000001</v>
      </c>
      <c r="I4">
        <f t="shared" ref="I4:I17" si="3">F4^2</f>
        <v>9.4249000000000009</v>
      </c>
      <c r="J4">
        <v>1.8939469051506277</v>
      </c>
      <c r="K4">
        <v>19.053638180347988</v>
      </c>
      <c r="L4">
        <f t="shared" ref="L4:L17" si="4">J4*B4+K4</f>
        <v>62.614416998812423</v>
      </c>
      <c r="M4">
        <f t="shared" ref="M4:M17" si="5">C4-L4</f>
        <v>0.38558300118757671</v>
      </c>
      <c r="N4">
        <f t="shared" ref="N4:N17" si="6">(ABS(M4))</f>
        <v>0.38558300118757671</v>
      </c>
      <c r="O4">
        <f t="shared" ref="O4:O19" si="7">(C4-L4)^2</f>
        <v>0.14867425080481877</v>
      </c>
    </row>
    <row r="5" spans="2:15" x14ac:dyDescent="0.25">
      <c r="B5">
        <v>18</v>
      </c>
      <c r="C5">
        <v>58</v>
      </c>
      <c r="D5">
        <v>19.93</v>
      </c>
      <c r="E5">
        <v>56.8</v>
      </c>
      <c r="F5">
        <f t="shared" si="0"/>
        <v>-1.9299999999999997</v>
      </c>
      <c r="G5">
        <f t="shared" si="1"/>
        <v>1.2000000000000028</v>
      </c>
      <c r="H5">
        <f t="shared" si="2"/>
        <v>-2.3160000000000052</v>
      </c>
      <c r="I5">
        <f t="shared" si="3"/>
        <v>3.724899999999999</v>
      </c>
      <c r="J5">
        <v>1.8939469051506277</v>
      </c>
      <c r="K5">
        <v>19.053638180347988</v>
      </c>
      <c r="L5">
        <f t="shared" si="4"/>
        <v>53.144682473059284</v>
      </c>
      <c r="M5">
        <f t="shared" si="5"/>
        <v>4.8553175269407163</v>
      </c>
      <c r="N5">
        <f t="shared" si="6"/>
        <v>4.8553175269407163</v>
      </c>
      <c r="O5">
        <f t="shared" si="7"/>
        <v>23.574108287417712</v>
      </c>
    </row>
    <row r="6" spans="2:15" x14ac:dyDescent="0.25">
      <c r="B6">
        <v>23</v>
      </c>
      <c r="C6">
        <v>60</v>
      </c>
      <c r="D6">
        <v>19.93</v>
      </c>
      <c r="E6">
        <v>56.8</v>
      </c>
      <c r="F6">
        <f t="shared" si="0"/>
        <v>3.0700000000000003</v>
      </c>
      <c r="G6">
        <f t="shared" si="1"/>
        <v>3.2000000000000028</v>
      </c>
      <c r="H6">
        <f t="shared" si="2"/>
        <v>9.8240000000000105</v>
      </c>
      <c r="I6">
        <f t="shared" si="3"/>
        <v>9.4249000000000009</v>
      </c>
      <c r="J6">
        <v>1.8939469051506277</v>
      </c>
      <c r="K6">
        <v>19.053638180347988</v>
      </c>
      <c r="L6">
        <f t="shared" si="4"/>
        <v>62.614416998812423</v>
      </c>
      <c r="M6">
        <f t="shared" si="5"/>
        <v>-2.6144169988124233</v>
      </c>
      <c r="N6">
        <f t="shared" si="6"/>
        <v>2.6144169988124233</v>
      </c>
      <c r="O6">
        <f t="shared" si="7"/>
        <v>6.8351762436793582</v>
      </c>
    </row>
    <row r="7" spans="2:15" x14ac:dyDescent="0.25">
      <c r="B7">
        <v>24</v>
      </c>
      <c r="C7">
        <v>58</v>
      </c>
      <c r="D7">
        <v>19.93</v>
      </c>
      <c r="E7">
        <v>56.8</v>
      </c>
      <c r="F7">
        <f t="shared" si="0"/>
        <v>4.07</v>
      </c>
      <c r="G7">
        <f t="shared" si="1"/>
        <v>1.2000000000000028</v>
      </c>
      <c r="H7">
        <f t="shared" si="2"/>
        <v>4.8840000000000119</v>
      </c>
      <c r="I7">
        <f t="shared" si="3"/>
        <v>16.564900000000002</v>
      </c>
      <c r="J7">
        <v>1.8939469051506277</v>
      </c>
      <c r="K7">
        <v>19.053638180347988</v>
      </c>
      <c r="L7">
        <f t="shared" si="4"/>
        <v>64.508363903963044</v>
      </c>
      <c r="M7">
        <f t="shared" si="5"/>
        <v>-6.5083639039630441</v>
      </c>
      <c r="N7">
        <f t="shared" si="6"/>
        <v>6.5083639039630441</v>
      </c>
      <c r="O7">
        <f t="shared" si="7"/>
        <v>42.358800706409077</v>
      </c>
    </row>
    <row r="8" spans="2:15" x14ac:dyDescent="0.25">
      <c r="B8">
        <v>22</v>
      </c>
      <c r="C8">
        <v>61</v>
      </c>
      <c r="D8">
        <v>19.93</v>
      </c>
      <c r="E8">
        <v>56.8</v>
      </c>
      <c r="F8">
        <f t="shared" si="0"/>
        <v>2.0700000000000003</v>
      </c>
      <c r="G8">
        <f t="shared" si="1"/>
        <v>4.2000000000000028</v>
      </c>
      <c r="H8">
        <f t="shared" si="2"/>
        <v>8.6940000000000079</v>
      </c>
      <c r="I8">
        <f t="shared" si="3"/>
        <v>4.2849000000000013</v>
      </c>
      <c r="J8">
        <v>1.8939469051506277</v>
      </c>
      <c r="K8">
        <v>19.053638180347988</v>
      </c>
      <c r="L8">
        <f t="shared" si="4"/>
        <v>60.720470093661795</v>
      </c>
      <c r="M8">
        <f t="shared" si="5"/>
        <v>0.27952990633820463</v>
      </c>
      <c r="N8">
        <f t="shared" si="6"/>
        <v>0.27952990633820463</v>
      </c>
      <c r="O8">
        <f t="shared" si="7"/>
        <v>7.813696853744545E-2</v>
      </c>
    </row>
    <row r="9" spans="2:15" x14ac:dyDescent="0.25">
      <c r="B9">
        <v>22</v>
      </c>
      <c r="C9">
        <v>60</v>
      </c>
      <c r="D9">
        <v>19.93</v>
      </c>
      <c r="E9">
        <v>56.8</v>
      </c>
      <c r="F9">
        <f t="shared" si="0"/>
        <v>2.0700000000000003</v>
      </c>
      <c r="G9">
        <f t="shared" si="1"/>
        <v>3.2000000000000028</v>
      </c>
      <c r="H9">
        <f t="shared" si="2"/>
        <v>6.6240000000000068</v>
      </c>
      <c r="I9">
        <f t="shared" si="3"/>
        <v>4.2849000000000013</v>
      </c>
      <c r="J9">
        <v>1.8939469051506277</v>
      </c>
      <c r="K9">
        <v>19.053638180347988</v>
      </c>
      <c r="L9">
        <f t="shared" si="4"/>
        <v>60.720470093661795</v>
      </c>
      <c r="M9">
        <f t="shared" si="5"/>
        <v>-0.72047009366179537</v>
      </c>
      <c r="N9">
        <f t="shared" si="6"/>
        <v>0.72047009366179537</v>
      </c>
      <c r="O9">
        <f t="shared" si="7"/>
        <v>0.5190771558610362</v>
      </c>
    </row>
    <row r="10" spans="2:15" x14ac:dyDescent="0.25">
      <c r="B10">
        <v>19</v>
      </c>
      <c r="C10">
        <v>63</v>
      </c>
      <c r="D10">
        <v>19.93</v>
      </c>
      <c r="E10">
        <v>56.8</v>
      </c>
      <c r="F10">
        <f t="shared" si="0"/>
        <v>-0.92999999999999972</v>
      </c>
      <c r="G10">
        <f t="shared" si="1"/>
        <v>6.2000000000000028</v>
      </c>
      <c r="H10">
        <f t="shared" si="2"/>
        <v>-5.7660000000000009</v>
      </c>
      <c r="I10">
        <f t="shared" si="3"/>
        <v>0.86489999999999945</v>
      </c>
      <c r="J10">
        <v>1.8939469051506277</v>
      </c>
      <c r="K10">
        <v>19.053638180347988</v>
      </c>
      <c r="L10">
        <f t="shared" si="4"/>
        <v>55.038629378209912</v>
      </c>
      <c r="M10">
        <f t="shared" si="5"/>
        <v>7.9613706217900884</v>
      </c>
      <c r="N10">
        <f t="shared" si="6"/>
        <v>7.9613706217900884</v>
      </c>
      <c r="O10">
        <f t="shared" si="7"/>
        <v>63.383422177502297</v>
      </c>
    </row>
    <row r="11" spans="2:15" x14ac:dyDescent="0.25">
      <c r="B11">
        <v>19</v>
      </c>
      <c r="C11">
        <v>60</v>
      </c>
      <c r="D11">
        <v>19.93</v>
      </c>
      <c r="E11">
        <v>56.8</v>
      </c>
      <c r="F11">
        <f t="shared" si="0"/>
        <v>-0.92999999999999972</v>
      </c>
      <c r="G11">
        <f t="shared" si="1"/>
        <v>3.2000000000000028</v>
      </c>
      <c r="H11">
        <f t="shared" si="2"/>
        <v>-2.9760000000000018</v>
      </c>
      <c r="I11">
        <f t="shared" si="3"/>
        <v>0.86489999999999945</v>
      </c>
      <c r="J11">
        <v>1.8939469051506277</v>
      </c>
      <c r="K11">
        <v>19.053638180347988</v>
      </c>
      <c r="L11">
        <f t="shared" si="4"/>
        <v>55.038629378209912</v>
      </c>
      <c r="M11">
        <f t="shared" si="5"/>
        <v>4.9613706217900884</v>
      </c>
      <c r="N11">
        <f t="shared" si="6"/>
        <v>4.9613706217900884</v>
      </c>
      <c r="O11">
        <f t="shared" si="7"/>
        <v>24.615198446761767</v>
      </c>
    </row>
    <row r="12" spans="2:15" x14ac:dyDescent="0.25">
      <c r="B12">
        <v>16</v>
      </c>
      <c r="C12">
        <v>52</v>
      </c>
      <c r="D12">
        <v>19.93</v>
      </c>
      <c r="E12">
        <v>56.8</v>
      </c>
      <c r="F12">
        <f t="shared" si="0"/>
        <v>-3.9299999999999997</v>
      </c>
      <c r="G12">
        <f t="shared" si="1"/>
        <v>-4.7999999999999972</v>
      </c>
      <c r="H12">
        <f t="shared" si="2"/>
        <v>18.863999999999987</v>
      </c>
      <c r="I12">
        <f t="shared" si="3"/>
        <v>15.444899999999997</v>
      </c>
      <c r="J12">
        <v>1.8939469051506277</v>
      </c>
      <c r="K12">
        <v>19.053638180347988</v>
      </c>
      <c r="L12">
        <f t="shared" si="4"/>
        <v>49.356788662758035</v>
      </c>
      <c r="M12">
        <f t="shared" si="5"/>
        <v>2.643211337241965</v>
      </c>
      <c r="N12">
        <f t="shared" si="6"/>
        <v>2.643211337241965</v>
      </c>
      <c r="O12">
        <f t="shared" si="7"/>
        <v>6.9865661733244568</v>
      </c>
    </row>
    <row r="13" spans="2:15" x14ac:dyDescent="0.25">
      <c r="B13">
        <v>24</v>
      </c>
      <c r="C13">
        <v>62</v>
      </c>
      <c r="D13">
        <v>19.93</v>
      </c>
      <c r="E13">
        <v>56.8</v>
      </c>
      <c r="F13">
        <f t="shared" si="0"/>
        <v>4.07</v>
      </c>
      <c r="G13">
        <f t="shared" si="1"/>
        <v>5.2000000000000028</v>
      </c>
      <c r="H13">
        <f t="shared" si="2"/>
        <v>21.164000000000012</v>
      </c>
      <c r="I13">
        <f t="shared" si="3"/>
        <v>16.564900000000002</v>
      </c>
      <c r="J13">
        <v>1.8939469051506277</v>
      </c>
      <c r="K13">
        <v>19.053638180347988</v>
      </c>
      <c r="L13">
        <f t="shared" si="4"/>
        <v>64.508363903963044</v>
      </c>
      <c r="M13">
        <f t="shared" si="5"/>
        <v>-2.5083639039630441</v>
      </c>
      <c r="N13">
        <f t="shared" si="6"/>
        <v>2.5083639039630441</v>
      </c>
      <c r="O13">
        <f t="shared" si="7"/>
        <v>6.2918894747047238</v>
      </c>
    </row>
    <row r="14" spans="2:15" x14ac:dyDescent="0.25">
      <c r="B14">
        <v>11</v>
      </c>
      <c r="C14">
        <v>30</v>
      </c>
      <c r="D14">
        <v>19.93</v>
      </c>
      <c r="E14">
        <v>56.8</v>
      </c>
      <c r="F14">
        <f t="shared" si="0"/>
        <v>-8.93</v>
      </c>
      <c r="G14">
        <f t="shared" si="1"/>
        <v>-26.799999999999997</v>
      </c>
      <c r="H14">
        <f>F14*G14</f>
        <v>239.32399999999996</v>
      </c>
      <c r="I14">
        <f t="shared" si="3"/>
        <v>79.744900000000001</v>
      </c>
      <c r="J14">
        <v>1.8939469051506277</v>
      </c>
      <c r="K14">
        <v>19.053638180347988</v>
      </c>
      <c r="L14">
        <f t="shared" si="4"/>
        <v>39.887054137004895</v>
      </c>
      <c r="M14">
        <f t="shared" si="5"/>
        <v>-9.8870541370048954</v>
      </c>
      <c r="N14">
        <f t="shared" si="6"/>
        <v>9.8870541370048954</v>
      </c>
      <c r="O14">
        <f t="shared" si="7"/>
        <v>97.753839508065624</v>
      </c>
    </row>
    <row r="15" spans="2:15" x14ac:dyDescent="0.25">
      <c r="B15">
        <v>24</v>
      </c>
      <c r="C15">
        <v>59</v>
      </c>
      <c r="D15">
        <v>19.93</v>
      </c>
      <c r="E15">
        <v>56.8</v>
      </c>
      <c r="F15">
        <f t="shared" si="0"/>
        <v>4.07</v>
      </c>
      <c r="G15">
        <f t="shared" si="1"/>
        <v>2.2000000000000028</v>
      </c>
      <c r="H15">
        <f t="shared" si="2"/>
        <v>8.9540000000000131</v>
      </c>
      <c r="I15">
        <f t="shared" si="3"/>
        <v>16.564900000000002</v>
      </c>
      <c r="J15">
        <v>1.8939469051506277</v>
      </c>
      <c r="K15">
        <v>19.053638180347988</v>
      </c>
      <c r="L15">
        <f t="shared" si="4"/>
        <v>64.508363903963044</v>
      </c>
      <c r="M15">
        <f t="shared" si="5"/>
        <v>-5.5083639039630441</v>
      </c>
      <c r="N15">
        <f t="shared" si="6"/>
        <v>5.5083639039630441</v>
      </c>
      <c r="O15">
        <f t="shared" si="7"/>
        <v>30.342072898482989</v>
      </c>
    </row>
    <row r="16" spans="2:15" x14ac:dyDescent="0.25">
      <c r="B16">
        <v>16</v>
      </c>
      <c r="C16">
        <v>49</v>
      </c>
      <c r="D16">
        <v>19.93</v>
      </c>
      <c r="E16">
        <v>56.8</v>
      </c>
      <c r="F16">
        <f t="shared" si="0"/>
        <v>-3.9299999999999997</v>
      </c>
      <c r="G16">
        <f t="shared" si="1"/>
        <v>-7.7999999999999972</v>
      </c>
      <c r="H16">
        <f t="shared" si="2"/>
        <v>30.653999999999986</v>
      </c>
      <c r="I16">
        <f t="shared" si="3"/>
        <v>15.444899999999997</v>
      </c>
      <c r="J16">
        <v>1.8939469051506277</v>
      </c>
      <c r="K16">
        <v>19.053638180347988</v>
      </c>
      <c r="L16">
        <f t="shared" si="4"/>
        <v>49.356788662758035</v>
      </c>
      <c r="M16">
        <f t="shared" si="5"/>
        <v>-0.356788662758035</v>
      </c>
      <c r="N16">
        <f t="shared" si="6"/>
        <v>0.356788662758035</v>
      </c>
      <c r="O16">
        <f t="shared" si="7"/>
        <v>0.12729814987266683</v>
      </c>
    </row>
    <row r="17" spans="2:15" x14ac:dyDescent="0.25">
      <c r="B17">
        <v>23</v>
      </c>
      <c r="C17">
        <v>68</v>
      </c>
      <c r="D17">
        <v>19.93</v>
      </c>
      <c r="E17">
        <v>56.8</v>
      </c>
      <c r="F17">
        <f t="shared" si="0"/>
        <v>3.0700000000000003</v>
      </c>
      <c r="G17">
        <f t="shared" si="1"/>
        <v>11.200000000000003</v>
      </c>
      <c r="H17">
        <f t="shared" si="2"/>
        <v>34.384000000000015</v>
      </c>
      <c r="I17">
        <f t="shared" si="3"/>
        <v>9.4249000000000009</v>
      </c>
      <c r="J17">
        <v>1.8939469051506277</v>
      </c>
      <c r="K17">
        <v>19.053638180347988</v>
      </c>
      <c r="L17">
        <f t="shared" si="4"/>
        <v>62.614416998812423</v>
      </c>
      <c r="M17">
        <f t="shared" si="5"/>
        <v>5.3855830011875767</v>
      </c>
      <c r="N17">
        <f t="shared" si="6"/>
        <v>5.3855830011875767</v>
      </c>
      <c r="O17">
        <f t="shared" si="7"/>
        <v>29.004504262680587</v>
      </c>
    </row>
    <row r="18" spans="2:15" x14ac:dyDescent="0.25">
      <c r="H18" s="1">
        <f>SUM(H3:H17)</f>
        <v>429.8</v>
      </c>
      <c r="I18" s="1">
        <f>SUM(I3:I17)</f>
        <v>226.93350000000001</v>
      </c>
      <c r="N18" s="1">
        <f>AVERAGE(N3:N17)</f>
        <v>3.740863057533006</v>
      </c>
      <c r="O18" s="1">
        <f>AVERAGE(O3:O17)</f>
        <v>22.292108011084007</v>
      </c>
    </row>
    <row r="19" spans="2:15" x14ac:dyDescent="0.25">
      <c r="N19" t="s">
        <v>11</v>
      </c>
      <c r="O1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C1" sqref="C1"/>
    </sheetView>
  </sheetViews>
  <sheetFormatPr defaultRowHeight="15" x14ac:dyDescent="0.25"/>
  <sheetData>
    <row r="1" spans="1:2" x14ac:dyDescent="0.25">
      <c r="A1" t="s">
        <v>13</v>
      </c>
      <c r="B1" t="s">
        <v>14</v>
      </c>
    </row>
    <row r="2" spans="1:2" x14ac:dyDescent="0.25">
      <c r="A2">
        <v>15</v>
      </c>
      <c r="B2">
        <v>49</v>
      </c>
    </row>
    <row r="3" spans="1:2" x14ac:dyDescent="0.25">
      <c r="A3">
        <v>23</v>
      </c>
      <c r="B3">
        <v>63</v>
      </c>
    </row>
    <row r="4" spans="1:2" x14ac:dyDescent="0.25">
      <c r="A4">
        <v>18</v>
      </c>
      <c r="B4">
        <v>58</v>
      </c>
    </row>
    <row r="5" spans="1:2" x14ac:dyDescent="0.25">
      <c r="A5">
        <v>23</v>
      </c>
      <c r="B5">
        <v>60</v>
      </c>
    </row>
    <row r="6" spans="1:2" x14ac:dyDescent="0.25">
      <c r="A6">
        <v>24</v>
      </c>
      <c r="B6">
        <v>58</v>
      </c>
    </row>
    <row r="7" spans="1:2" x14ac:dyDescent="0.25">
      <c r="A7">
        <v>22</v>
      </c>
      <c r="B7">
        <v>61</v>
      </c>
    </row>
    <row r="8" spans="1:2" x14ac:dyDescent="0.25">
      <c r="A8">
        <v>22</v>
      </c>
      <c r="B8">
        <v>60</v>
      </c>
    </row>
    <row r="9" spans="1:2" x14ac:dyDescent="0.25">
      <c r="A9">
        <v>19</v>
      </c>
      <c r="B9">
        <v>63</v>
      </c>
    </row>
    <row r="10" spans="1:2" x14ac:dyDescent="0.25">
      <c r="A10">
        <v>19</v>
      </c>
      <c r="B10">
        <v>60</v>
      </c>
    </row>
    <row r="11" spans="1:2" x14ac:dyDescent="0.25">
      <c r="A11">
        <v>16</v>
      </c>
      <c r="B11">
        <v>52</v>
      </c>
    </row>
    <row r="12" spans="1:2" x14ac:dyDescent="0.25">
      <c r="A12">
        <v>24</v>
      </c>
      <c r="B12">
        <v>62</v>
      </c>
    </row>
    <row r="13" spans="1:2" x14ac:dyDescent="0.25">
      <c r="A13">
        <v>11</v>
      </c>
      <c r="B13">
        <v>30</v>
      </c>
    </row>
    <row r="14" spans="1:2" x14ac:dyDescent="0.25">
      <c r="A14">
        <v>24</v>
      </c>
      <c r="B14">
        <v>59</v>
      </c>
    </row>
    <row r="15" spans="1:2" x14ac:dyDescent="0.25">
      <c r="A15">
        <v>16</v>
      </c>
      <c r="B15">
        <v>49</v>
      </c>
    </row>
    <row r="16" spans="1:2" x14ac:dyDescent="0.25">
      <c r="A16">
        <v>23</v>
      </c>
      <c r="B16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2026-04-11T03:29:08Z</dcterms:created>
  <dcterms:modified xsi:type="dcterms:W3CDTF">2026-04-11T04:14:20Z</dcterms:modified>
</cp:coreProperties>
</file>